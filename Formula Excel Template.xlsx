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Data Analysis Course\Excel Formulas\"/>
    </mc:Choice>
  </mc:AlternateContent>
  <xr:revisionPtr revIDLastSave="0" documentId="13_ncr:1_{8E09B5DE-4542-44E9-B92D-8E7715A86827}" xr6:coauthVersionLast="47" xr6:coauthVersionMax="47" xr10:uidLastSave="{00000000-0000-0000-0000-000000000000}"/>
  <bookViews>
    <workbookView xWindow="-108" yWindow="-108" windowWidth="23256" windowHeight="12456" firstSheet="3" activeTab="10" xr2:uid="{00000000-000D-0000-FFFF-FFFF00000000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Concatenate" sheetId="1" r:id="rId8"/>
    <sheet name="SUM-SumIF" sheetId="12" r:id="rId9"/>
    <sheet name="Count-CountIF" sheetId="5" r:id="rId10"/>
    <sheet name="Days-NetworkDays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4" i="12"/>
  <c r="L3" i="12"/>
  <c r="L2" i="12"/>
  <c r="K2" i="12"/>
  <c r="J2" i="12"/>
  <c r="E15" i="7"/>
  <c r="K2" i="7" a="1"/>
  <c r="K2" i="7" s="1"/>
  <c r="J2" i="7" a="1"/>
  <c r="J2" i="7" s="1"/>
  <c r="L2" i="7" a="1"/>
  <c r="L2" i="7" s="1"/>
  <c r="K2" i="1" a="1"/>
  <c r="K2" i="1" s="1"/>
  <c r="J2" i="1" a="1"/>
  <c r="J2" i="1" s="1"/>
  <c r="J2" i="6" a="1"/>
  <c r="J2" i="6" s="1"/>
  <c r="K2" i="3" a="1"/>
  <c r="K2" i="3" s="1"/>
  <c r="L2" i="3" s="1" a="1"/>
  <c r="L2" i="3" s="1"/>
  <c r="J2" i="3" a="1"/>
  <c r="J2" i="3" s="1"/>
  <c r="N2" i="4" a="1"/>
  <c r="N2" i="4" s="1"/>
  <c r="M3" i="4"/>
  <c r="M4" i="4"/>
  <c r="M5" i="4"/>
  <c r="M6" i="4"/>
  <c r="M7" i="4"/>
  <c r="M8" i="4"/>
  <c r="M9" i="4"/>
  <c r="M10" i="4"/>
  <c r="M2" i="4"/>
  <c r="L10" i="4"/>
  <c r="L3" i="4"/>
  <c r="L4" i="4"/>
  <c r="L5" i="4"/>
  <c r="L6" i="4"/>
  <c r="L7" i="4"/>
  <c r="L8" i="4"/>
  <c r="L9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2" i="8" a="1"/>
  <c r="K2" i="8" s="1"/>
  <c r="H12" i="1"/>
  <c r="H11" i="1"/>
  <c r="J2" i="8" a="1"/>
  <c r="J2" i="8" s="1"/>
  <c r="K3" i="9"/>
  <c r="J3" i="9"/>
  <c r="K2" i="9"/>
  <c r="J2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<sst xmlns="http://schemas.openxmlformats.org/spreadsheetml/2006/main" count="593" uniqueCount="99">
  <si>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</si>
  <si>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</si>
  <si>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</si>
  <si>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</si>
  <si>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</si>
  <si>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</si>
  <si>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</si>
  <si>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</si>
  <si>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</si>
  <si>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</t>
  </si>
  <si>
    <t>Min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</si>
  <si>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</si>
  <si>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</si>
  <si>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</si>
  <si>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</si>
  <si>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</si>
  <si>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</si>
  <si>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</si>
  <si>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</si>
  <si>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</si>
  <si>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</si>
  <si>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</si>
  <si>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</si>
  <si>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</si>
  <si>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</si>
  <si>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</si>
  <si>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</si>
  <si>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</si>
  <si>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</si>
  <si>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</si>
  <si>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</si>
  <si>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</si>
  <si>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</si>
  <si>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</si>
  <si>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</si>
  <si>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Kevin</t>
  </si>
  <si>
    <t>Malone</t>
  </si>
  <si>
    <t>IF</t>
  </si>
  <si>
    <t>LEN(B2)</t>
  </si>
  <si>
    <t>Can be used to see difference between 100s and thousands. Can find bad Social Security numbers if they're 10 digits instead of 9</t>
  </si>
  <si>
    <t>Email</t>
  </si>
  <si>
    <t>Left</t>
  </si>
  <si>
    <t>Right</t>
  </si>
  <si>
    <t>11/2/2001</t>
  </si>
  <si>
    <t>9/6/2015</t>
  </si>
  <si>
    <t>Jim.Halpert@DunderMifflin.com</t>
  </si>
  <si>
    <t>10/3/1999</t>
  </si>
  <si>
    <t>10/10/2015</t>
  </si>
  <si>
    <t>Pam.Beasley@DunderMifflin.com</t>
  </si>
  <si>
    <t>7/4/2000</t>
  </si>
  <si>
    <t>9/8/2017</t>
  </si>
  <si>
    <t>Dwight.Schrute@AOL.com</t>
  </si>
  <si>
    <t>1/5/2000</t>
  </si>
  <si>
    <t>12/3/2015</t>
  </si>
  <si>
    <t>Angela.Martin@DunderMifflin.com</t>
  </si>
  <si>
    <t>5/6/2001</t>
  </si>
  <si>
    <t>8/30/2017</t>
  </si>
  <si>
    <t>Toby.Flenderson@DunderMifflinCorporate.com</t>
  </si>
  <si>
    <t>9/11/2013</t>
  </si>
  <si>
    <t>Michael.Scott@DunderMifflin.com</t>
  </si>
  <si>
    <t>11/8/2003</t>
  </si>
  <si>
    <t>Meredith.Palmer@Yahoo.com</t>
  </si>
  <si>
    <t>6/9/2002</t>
  </si>
  <si>
    <t>4/22/2015</t>
  </si>
  <si>
    <t>Stanley.Hudson@gmail.com</t>
  </si>
  <si>
    <t>8/10/2003</t>
  </si>
  <si>
    <t>Kevin.Malone@DunderMifflin.com</t>
  </si>
  <si>
    <t>It just removes unwanted spaces on both sides</t>
  </si>
  <si>
    <t xml:space="preserve"> Schrute</t>
  </si>
  <si>
    <t xml:space="preserve">Flenderson    </t>
  </si>
  <si>
    <t xml:space="preserve">   Scott</t>
  </si>
  <si>
    <t xml:space="preserve">  Hudson</t>
  </si>
  <si>
    <t xml:space="preserve">Malone </t>
  </si>
  <si>
    <t>with 1 instance</t>
  </si>
  <si>
    <t>with 2 instances</t>
  </si>
  <si>
    <t>with NO instances</t>
  </si>
  <si>
    <t>SUM</t>
  </si>
  <si>
    <t>SUMIFS</t>
  </si>
  <si>
    <t>COUNT</t>
  </si>
  <si>
    <t>COUNTIF</t>
  </si>
  <si>
    <t>COUNTIFS</t>
  </si>
  <si>
    <t>CONCATENATE(B2," ",C2)</t>
  </si>
  <si>
    <t>DAYS</t>
  </si>
  <si>
    <t>NETWORKDAYS</t>
  </si>
  <si>
    <t>IFS</t>
  </si>
  <si>
    <t>Year</t>
  </si>
  <si>
    <t>Date To Text</t>
  </si>
  <si>
    <t>LastName Trim</t>
  </si>
  <si>
    <t>1-5-2000</t>
  </si>
  <si>
    <t>4-22-2015</t>
  </si>
  <si>
    <t>aaa</t>
  </si>
  <si>
    <t>Sum of Salary Greater Than 50000</t>
  </si>
  <si>
    <t>SALESMAN SALARY</t>
  </si>
  <si>
    <t>FEMALE SALARY</t>
  </si>
  <si>
    <t>MALE SALARY AND OLDER THAN 30</t>
  </si>
  <si>
    <t>Number of Employees</t>
  </si>
  <si>
    <t>Employees Working as Salesman</t>
  </si>
  <si>
    <t>Employees Working as Salesman and their salary is greater than 45000</t>
  </si>
  <si>
    <t>NetworkDays Doesn't Include holidays and weekends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</si>
</sst>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K10"/>
  <sheetViews>
    <sheetView workbookViewId="0">
      <selection activeCell="K4" sqref="K4"/>
    </sheetView>
  </sheetViews>
  <sheetFormatPr defaultColWidth="13.6640625" defaultRowHeight="14.4"/>
  <cols>
    <col min="1" max="1" width="10.77734375" customWidth="1"/>
    <col min="4" max="4" width="7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s="3">
        <f>MAX(H2:H10)</f>
        <v>37933</v>
      </c>
      <c r="K2" s="3">
        <f>MIN(H2:H10)</f>
        <v>35040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 s="1">
        <f>MAX(G2:G10)</f>
        <v>65000</v>
      </c>
      <c r="K3" s="1">
        <f>MIN(G2:G10)</f>
        <v>36000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K10"/>
  <sheetViews>
    <sheetView workbookViewId="0">
      <selection activeCell="L14" sqref="L14"/>
    </sheetView>
  </sheetViews>
  <sheetFormatPr defaultColWidth="13.6640625" defaultRowHeight="14.4"/>
  <cols>
    <col min="1" max="1" width="10.77734375" customWidth="1"/>
    <col min="4" max="4" width="7.6640625" customWidth="1"/>
    <col min="11" max="11" width="22.44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37</v>
      </c>
      <c r="K1" t="s">
        <v>84</v>
      </c>
    </row>
    <row r="2" spans="1:1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t="str" cm="1">
        <f t="array" ref="J2:J10">IF(D2:D10&gt;=35,"Senior","Junior")</f>
        <v>Junior</v>
      </c>
      <c r="K2" t="str" cm="1">
        <f t="array" ref="K2:K10">_xlfn.IFS(F2:F10 = "Salesman","Sales Department",F2:F10="Receptionist","Employee",F2:F10="Accountant","Financial Department")</f>
        <v>Sales Department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 t="str">
        <v>Junior</v>
      </c>
      <c r="K3" t="str">
        <v>Employee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  <c r="J4" t="str">
        <v>Junior</v>
      </c>
      <c r="K4" t="str">
        <v>Sales Department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  <c r="J5" t="str">
        <v>Junior</v>
      </c>
      <c r="K5" t="str">
        <v>Financial Department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  <c r="J6" t="str">
        <v>Junior</v>
      </c>
      <c r="K6" t="e">
        <v>#N/A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  <c r="J7" t="str">
        <v>Senior</v>
      </c>
      <c r="K7" t="e">
        <v>#N/A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  <c r="J8" t="str">
        <v>Junior</v>
      </c>
      <c r="K8" t="e">
        <v>#N/A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  <c r="J9" t="str">
        <v>Senior</v>
      </c>
      <c r="K9" t="str">
        <v>Sales Department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  <c r="J10" t="str">
        <v>Junior</v>
      </c>
      <c r="K10" t="str">
        <v>Financial Department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L10"/>
  <sheetViews>
    <sheetView zoomScaleNormal="100" workbookViewId="0">
      <selection activeCell="H14" sqref="H14"/>
    </sheetView>
  </sheetViews>
  <sheetFormatPr defaultColWidth="10.88671875" defaultRowHeight="14.4"/>
  <cols>
    <col min="1" max="1" width="10.77734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38</v>
      </c>
      <c r="L1" t="s">
        <v>39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>
        <f>LEN(C2)</f>
        <v>7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>
        <f t="shared" ref="J3:J10" si="0">LEN(C3)</f>
        <v>7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  <c r="J4">
        <f t="shared" si="0"/>
        <v>7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  <c r="J5">
        <f t="shared" si="0"/>
        <v>6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  <c r="J6">
        <f t="shared" si="0"/>
        <v>10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  <c r="J7">
        <f t="shared" si="0"/>
        <v>5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  <c r="J8">
        <f t="shared" si="0"/>
        <v>6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  <c r="J9">
        <f t="shared" si="0"/>
        <v>6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N10"/>
  <sheetViews>
    <sheetView topLeftCell="B1" workbookViewId="0">
      <selection activeCell="J12" sqref="J12"/>
    </sheetView>
  </sheetViews>
  <sheetFormatPr defaultColWidth="14.5546875" defaultRowHeight="14.4"/>
  <cols>
    <col min="4" max="4" width="8" customWidth="1"/>
    <col min="10" max="10" width="40.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40</v>
      </c>
      <c r="K1" t="s">
        <v>41</v>
      </c>
      <c r="L1" t="s">
        <v>42</v>
      </c>
      <c r="M1" t="s">
        <v>42</v>
      </c>
      <c r="N1" t="s">
        <v>85</v>
      </c>
    </row>
    <row r="2" spans="1:14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2" t="s">
        <v>43</v>
      </c>
      <c r="I2" s="2" t="s">
        <v>44</v>
      </c>
      <c r="J2" s="3" t="s">
        <v>45</v>
      </c>
      <c r="K2" t="str">
        <f>LEFT(B2,3)</f>
        <v>Jim</v>
      </c>
      <c r="L2" t="str">
        <f>RIGHT(B2,3)</f>
        <v>Jim</v>
      </c>
      <c r="M2" t="str">
        <f>RIGHT(A2,2)</f>
        <v>01</v>
      </c>
      <c r="N2" t="str" cm="1">
        <f t="array" ref="N2:N10">RIGHT(H2:H10,4)</f>
        <v>2001</v>
      </c>
    </row>
    <row r="3" spans="1:14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2" t="s">
        <v>46</v>
      </c>
      <c r="I3" s="2" t="s">
        <v>47</v>
      </c>
      <c r="J3" s="3" t="s">
        <v>48</v>
      </c>
      <c r="K3" t="str">
        <f t="shared" ref="K3:K10" si="0">LEFT(B3,3)</f>
        <v>Pam</v>
      </c>
      <c r="L3" t="str">
        <f t="shared" ref="L3:L9" si="1">RIGHT(B3,3)</f>
        <v>Pam</v>
      </c>
      <c r="M3" t="str">
        <f t="shared" ref="M3:M10" si="2">RIGHT(A3,2)</f>
        <v>02</v>
      </c>
      <c r="N3" t="str">
        <v>1999</v>
      </c>
    </row>
    <row r="4" spans="1:14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2" t="s">
        <v>49</v>
      </c>
      <c r="I4" s="2" t="s">
        <v>50</v>
      </c>
      <c r="J4" s="3" t="s">
        <v>51</v>
      </c>
      <c r="K4" t="str">
        <f t="shared" si="0"/>
        <v>Dwi</v>
      </c>
      <c r="L4" t="str">
        <f t="shared" si="1"/>
        <v>ght</v>
      </c>
      <c r="M4" t="str">
        <f t="shared" si="2"/>
        <v>03</v>
      </c>
      <c r="N4" t="str">
        <v>2000</v>
      </c>
    </row>
    <row r="5" spans="1:14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2" t="s">
        <v>52</v>
      </c>
      <c r="I5" s="2" t="s">
        <v>53</v>
      </c>
      <c r="J5" s="3" t="s">
        <v>54</v>
      </c>
      <c r="K5" t="str">
        <f t="shared" si="0"/>
        <v>Ang</v>
      </c>
      <c r="L5" t="str">
        <f t="shared" si="1"/>
        <v>ela</v>
      </c>
      <c r="M5" t="str">
        <f t="shared" si="2"/>
        <v>04</v>
      </c>
      <c r="N5" t="str">
        <v>2000</v>
      </c>
    </row>
    <row r="6" spans="1:14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2" t="s">
        <v>55</v>
      </c>
      <c r="I6" s="2" t="s">
        <v>56</v>
      </c>
      <c r="J6" s="3" t="s">
        <v>57</v>
      </c>
      <c r="K6" t="str">
        <f t="shared" si="0"/>
        <v>Tob</v>
      </c>
      <c r="L6" t="str">
        <f t="shared" si="1"/>
        <v>oby</v>
      </c>
      <c r="M6" t="str">
        <f t="shared" si="2"/>
        <v>05</v>
      </c>
      <c r="N6" t="str">
        <v>2001</v>
      </c>
    </row>
    <row r="7" spans="1:14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2" t="s">
        <v>55</v>
      </c>
      <c r="I7" s="2" t="s">
        <v>58</v>
      </c>
      <c r="J7" s="3" t="s">
        <v>59</v>
      </c>
      <c r="K7" t="str">
        <f t="shared" si="0"/>
        <v>Mic</v>
      </c>
      <c r="L7" t="str">
        <f t="shared" si="1"/>
        <v>ael</v>
      </c>
      <c r="M7" t="str">
        <f t="shared" si="2"/>
        <v>06</v>
      </c>
      <c r="N7" t="str">
        <v>2001</v>
      </c>
    </row>
    <row r="8" spans="1:14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2" t="s">
        <v>60</v>
      </c>
      <c r="I8" s="2" t="s">
        <v>58</v>
      </c>
      <c r="J8" s="3" t="s">
        <v>61</v>
      </c>
      <c r="K8" t="str">
        <f t="shared" si="0"/>
        <v>Mer</v>
      </c>
      <c r="L8" t="str">
        <f t="shared" si="1"/>
        <v>ith</v>
      </c>
      <c r="M8" t="str">
        <f t="shared" si="2"/>
        <v>07</v>
      </c>
      <c r="N8" t="str">
        <v>2003</v>
      </c>
    </row>
    <row r="9" spans="1:14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2" t="s">
        <v>62</v>
      </c>
      <c r="I9" s="2" t="s">
        <v>63</v>
      </c>
      <c r="J9" s="3" t="s">
        <v>64</v>
      </c>
      <c r="K9" t="str">
        <f t="shared" si="0"/>
        <v>Sta</v>
      </c>
      <c r="L9" t="str">
        <f t="shared" si="1"/>
        <v>ley</v>
      </c>
      <c r="M9" t="str">
        <f t="shared" si="2"/>
        <v>08</v>
      </c>
      <c r="N9" t="str">
        <v>2002</v>
      </c>
    </row>
    <row r="10" spans="1:14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2" t="s">
        <v>65</v>
      </c>
      <c r="I10" s="2" t="s">
        <v>63</v>
      </c>
      <c r="J10" s="3" t="s">
        <v>66</v>
      </c>
      <c r="K10" t="str">
        <f t="shared" si="0"/>
        <v>Kev</v>
      </c>
      <c r="L10" t="str">
        <f>RIGHT(B10,3)</f>
        <v>vin</v>
      </c>
      <c r="M10" t="str">
        <f t="shared" si="2"/>
        <v>09</v>
      </c>
      <c r="N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L13"/>
  <sheetViews>
    <sheetView workbookViewId="0">
      <selection activeCell="M2" sqref="M2"/>
    </sheetView>
  </sheetViews>
  <sheetFormatPr defaultColWidth="13.6640625" defaultRowHeight="14.4"/>
  <cols>
    <col min="1" max="1" width="10.77734375" customWidth="1"/>
    <col min="4" max="4" width="7.6640625" customWidth="1"/>
    <col min="10" max="10" width="2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86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t="str" cm="1">
        <f t="array" ref="J2:J10">TEXT(I2:I10,"dd/mm/yyyy")</f>
        <v>06/09/2015</v>
      </c>
      <c r="K2" t="str" cm="1">
        <f t="array" ref="K2:K10">TEXT(J2:J10,"dd/mm/yyyy")</f>
        <v>09/06/2015</v>
      </c>
      <c r="L2" t="str" cm="1">
        <f t="array" ref="L2:L10">RIGHT(_xlfn.ANCHORARRAY(K2),4)</f>
        <v>2015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 t="str">
        <v>10/10/2015</v>
      </c>
      <c r="K3" t="str">
        <v>10/10/2015</v>
      </c>
      <c r="L3" t="str">
        <v>2015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  <c r="J4" t="str">
        <v>08/09/2017</v>
      </c>
      <c r="K4" t="str">
        <v>09/08/2017</v>
      </c>
      <c r="L4" t="str">
        <v>2017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  <c r="J5" t="str">
        <v>03/12/2015</v>
      </c>
      <c r="K5" t="str">
        <v>12/03/2015</v>
      </c>
      <c r="L5" t="str">
        <v>2015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  <c r="J6" t="str">
        <v>30/08/2017</v>
      </c>
      <c r="K6" t="str">
        <v>30/08/2017</v>
      </c>
      <c r="L6" t="str">
        <v>2017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  <c r="J7" t="str">
        <v>11/09/2013</v>
      </c>
      <c r="K7" t="str">
        <v>09/11/2013</v>
      </c>
      <c r="L7" t="str">
        <v>2013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  <c r="J8" t="str">
        <v>04/10/2013</v>
      </c>
      <c r="K8" t="str">
        <v>10/04/2013</v>
      </c>
      <c r="L8" t="str">
        <v>2013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  <c r="J9" t="str">
        <v>22/04/2015</v>
      </c>
      <c r="K9" t="str">
        <v>22/04/2015</v>
      </c>
      <c r="L9" t="str">
        <v>2015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  <c r="J10" t="str">
        <v>14/09/2011</v>
      </c>
      <c r="K10" t="str">
        <v>14/09/2011</v>
      </c>
      <c r="L10" t="str">
        <v>2011</v>
      </c>
    </row>
    <row r="12" spans="1:12">
      <c r="H12" s="3"/>
    </row>
    <row r="13" spans="1:12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K10"/>
  <sheetViews>
    <sheetView workbookViewId="0">
      <selection activeCell="F19" sqref="F19"/>
    </sheetView>
  </sheetViews>
  <sheetFormatPr defaultColWidth="13.6640625" defaultRowHeight="14.4"/>
  <cols>
    <col min="1" max="1" width="10.77734375" customWidth="1"/>
    <col min="4" max="4" width="7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87</v>
      </c>
      <c r="K1" t="s">
        <v>67</v>
      </c>
    </row>
    <row r="2" spans="1:11">
      <c r="A2">
        <v>1001</v>
      </c>
      <c r="B2" s="2" t="s">
        <v>11</v>
      </c>
      <c r="C2" s="2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t="str" cm="1">
        <f t="array" ref="J2:J10">TRIM(C2:C10)</f>
        <v>Halpert</v>
      </c>
    </row>
    <row r="3" spans="1:11">
      <c r="A3">
        <v>1002</v>
      </c>
      <c r="B3" s="2" t="s">
        <v>15</v>
      </c>
      <c r="C3" s="2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 t="str">
        <v>Beasley</v>
      </c>
    </row>
    <row r="4" spans="1:11">
      <c r="A4">
        <v>1003</v>
      </c>
      <c r="B4" s="2" t="s">
        <v>19</v>
      </c>
      <c r="C4" s="2" t="s">
        <v>68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  <c r="J4" t="str">
        <v>Schrute</v>
      </c>
    </row>
    <row r="5" spans="1:11">
      <c r="A5">
        <v>1004</v>
      </c>
      <c r="B5" s="2" t="s">
        <v>21</v>
      </c>
      <c r="C5" s="2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  <c r="J5" t="str">
        <v>Martin</v>
      </c>
    </row>
    <row r="6" spans="1:11">
      <c r="A6">
        <v>1005</v>
      </c>
      <c r="B6" s="2" t="s">
        <v>24</v>
      </c>
      <c r="C6" s="2" t="s">
        <v>69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  <c r="J6" t="str">
        <v>Flenderson</v>
      </c>
    </row>
    <row r="7" spans="1:11">
      <c r="A7">
        <v>1006</v>
      </c>
      <c r="B7" s="2" t="s">
        <v>27</v>
      </c>
      <c r="C7" s="2" t="s">
        <v>70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  <c r="J7" t="str">
        <v>Scott</v>
      </c>
    </row>
    <row r="8" spans="1:11">
      <c r="A8">
        <v>1007</v>
      </c>
      <c r="B8" s="2" t="s">
        <v>30</v>
      </c>
      <c r="C8" s="2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  <c r="J8" t="str">
        <v>Palmer</v>
      </c>
    </row>
    <row r="9" spans="1:11">
      <c r="A9">
        <v>1008</v>
      </c>
      <c r="B9" s="2" t="s">
        <v>33</v>
      </c>
      <c r="C9" s="2" t="s">
        <v>71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  <c r="J9" t="str">
        <v>Hudson</v>
      </c>
    </row>
    <row r="10" spans="1:11">
      <c r="A10">
        <v>1009</v>
      </c>
      <c r="B10" s="2" t="s">
        <v>35</v>
      </c>
      <c r="C10" s="2" t="s">
        <v>72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L20"/>
  <sheetViews>
    <sheetView workbookViewId="0">
      <selection activeCell="E16" sqref="E16"/>
    </sheetView>
  </sheetViews>
  <sheetFormatPr defaultColWidth="13.6640625" defaultRowHeight="14.4"/>
  <cols>
    <col min="1" max="1" width="10.77734375" customWidth="1"/>
    <col min="4" max="4" width="7.6640625" customWidth="1"/>
    <col min="7" max="7" width="13.6640625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73</v>
      </c>
      <c r="K1" t="s">
        <v>74</v>
      </c>
      <c r="L1" t="s">
        <v>75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 s="1">
        <v>45000</v>
      </c>
      <c r="H2" s="2" t="s">
        <v>43</v>
      </c>
      <c r="I2" s="2" t="s">
        <v>44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SUBSTITUTE(H2:H10,"-","/")</f>
        <v>11/2/2001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 s="1">
        <v>36000</v>
      </c>
      <c r="H3" s="2" t="s">
        <v>46</v>
      </c>
      <c r="I3" s="2" t="s">
        <v>47</v>
      </c>
      <c r="J3" t="str">
        <v>10-3/1999</v>
      </c>
      <c r="K3" t="str">
        <v>10/3-1999</v>
      </c>
      <c r="L3" t="str">
        <v>10/3/1999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 s="1">
        <v>63000</v>
      </c>
      <c r="H4" s="2" t="s">
        <v>49</v>
      </c>
      <c r="I4" s="2" t="s">
        <v>50</v>
      </c>
      <c r="J4" t="str">
        <v>7-4/2000</v>
      </c>
      <c r="K4" t="str">
        <v>7/4-2000</v>
      </c>
      <c r="L4" t="str">
        <v>7/4/2000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 s="1">
        <v>47000</v>
      </c>
      <c r="H5" s="2" t="s">
        <v>88</v>
      </c>
      <c r="I5" s="2" t="s">
        <v>53</v>
      </c>
      <c r="J5" t="str">
        <v>1-5-2000</v>
      </c>
      <c r="K5" t="str">
        <v>1-5-2000</v>
      </c>
      <c r="L5" t="str">
        <v>1/5/2000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 s="1">
        <v>50000</v>
      </c>
      <c r="H6" s="2" t="s">
        <v>55</v>
      </c>
      <c r="I6" s="2" t="s">
        <v>56</v>
      </c>
      <c r="J6" t="str">
        <v>5-6/2001</v>
      </c>
      <c r="K6" t="str">
        <v>5/6-2001</v>
      </c>
      <c r="L6" t="str">
        <v>5/6/2001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 s="1">
        <v>65000</v>
      </c>
      <c r="H7" s="2" t="s">
        <v>55</v>
      </c>
      <c r="I7" s="2" t="s">
        <v>58</v>
      </c>
      <c r="J7" t="str">
        <v>5-6/2001</v>
      </c>
      <c r="K7" t="str">
        <v>5/6-2001</v>
      </c>
      <c r="L7" t="str">
        <v>5/6/2001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 s="1">
        <v>41000</v>
      </c>
      <c r="H8" s="2" t="s">
        <v>60</v>
      </c>
      <c r="I8" s="2" t="s">
        <v>58</v>
      </c>
      <c r="J8" t="str">
        <v>11-8/2003</v>
      </c>
      <c r="K8" t="str">
        <v>11/8-2003</v>
      </c>
      <c r="L8" t="str">
        <v>11/8/2003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 s="1">
        <v>48000</v>
      </c>
      <c r="H9" s="2" t="s">
        <v>62</v>
      </c>
      <c r="I9" s="2" t="s">
        <v>89</v>
      </c>
      <c r="J9" t="str">
        <v>6-9/2002</v>
      </c>
      <c r="K9" t="str">
        <v>6/9-2002</v>
      </c>
      <c r="L9" t="str">
        <v>6/9/2002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 s="1">
        <v>42000</v>
      </c>
      <c r="H10" s="2" t="s">
        <v>65</v>
      </c>
      <c r="I10" s="2" t="s">
        <v>63</v>
      </c>
      <c r="J10" t="str">
        <v>8-10/2003</v>
      </c>
      <c r="K10" t="str">
        <v>8/10-2003</v>
      </c>
      <c r="L10" t="str">
        <v>8/10/2003</v>
      </c>
    </row>
    <row r="12" spans="1:12">
      <c r="H12" s="2"/>
      <c r="I12" s="2"/>
    </row>
    <row r="13" spans="1:12">
      <c r="H13" s="2"/>
      <c r="I13" s="2"/>
    </row>
    <row r="14" spans="1:12">
      <c r="H14" s="2"/>
      <c r="I14" s="2"/>
    </row>
    <row r="15" spans="1:12">
      <c r="C15" t="s">
        <v>90</v>
      </c>
      <c r="E15" t="str">
        <f>SUBSTITUTE(C15,"a","c",3)</f>
        <v>aac</v>
      </c>
      <c r="H15" s="2"/>
      <c r="I15" s="2"/>
    </row>
    <row r="16" spans="1:12">
      <c r="H16" s="2"/>
      <c r="I16" s="2"/>
    </row>
    <row r="17" spans="8:9">
      <c r="H17" s="2"/>
      <c r="I17" s="2"/>
    </row>
    <row r="18" spans="8:9">
      <c r="H18" s="2"/>
      <c r="I18" s="2"/>
    </row>
    <row r="19" spans="8:9">
      <c r="H19" s="2"/>
      <c r="I19" s="2"/>
    </row>
    <row r="20" spans="8:9">
      <c r="H20" s="2"/>
      <c r="I2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K12"/>
  <sheetViews>
    <sheetView workbookViewId="0">
      <selection activeCell="K2" sqref="K2"/>
    </sheetView>
  </sheetViews>
  <sheetFormatPr defaultColWidth="9" defaultRowHeight="14.4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customWidth="1"/>
    <col min="11" max="11" width="25.21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81</v>
      </c>
      <c r="K1" t="s">
        <v>40</v>
      </c>
    </row>
    <row r="2" spans="1:1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t="str" cm="1">
        <f t="array" ref="J2:J10">CONCATENATE(B2:B10," ", C2:C10)</f>
        <v>Jim Halpert</v>
      </c>
      <c r="K2" t="str" cm="1">
        <f t="array" ref="K2:K10">CONCATENATE(B2:B10,"_ ",C2:C10,"@gmail.com")</f>
        <v>Jim_ Halpert@gmail.com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J3" t="str">
        <v>Pam Beasley</v>
      </c>
      <c r="K3" t="str">
        <v>Pam_ Beasley@gmail.com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  <c r="J4" t="str">
        <v>Dwight Schrute</v>
      </c>
      <c r="K4" t="str">
        <v>Dwight_ Schrute@gmail.com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  <c r="J5" t="str">
        <v>Angela Martin</v>
      </c>
      <c r="K5" t="str">
        <v>Angela_ Martin@gmail.com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  <c r="J6" t="str">
        <v>Toby Flenderson</v>
      </c>
      <c r="K6" t="str">
        <v>Toby_ Flenderson@gmail.com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  <c r="J7" t="str">
        <v>Michael Scott</v>
      </c>
      <c r="K7" t="str">
        <v>Michael_ Scott@gmail.com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  <c r="J8" t="str">
        <v>Meredith Palmer</v>
      </c>
      <c r="K8" t="str">
        <v>Meredith_ Palmer@gmail.com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  <c r="J9" t="str">
        <v>Stanley Hudson</v>
      </c>
      <c r="K9" t="str">
        <v>Stanley_ Hudson@gmail.com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  <c r="J10" t="str">
        <v>Kevin Malone</v>
      </c>
      <c r="K10" t="str">
        <v>Kevin_ Malone@gmail.com</v>
      </c>
    </row>
    <row r="11" spans="1:11">
      <c r="H11" t="str">
        <f t="shared" ref="H11:H12" si="0">CONCATENATE(B11," ",C11)</f>
        <v/>
      </c>
    </row>
    <row r="12" spans="1:11">
      <c r="H12" t="str">
        <f t="shared" si="0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M10"/>
  <sheetViews>
    <sheetView workbookViewId="0">
      <selection activeCell="H16" sqref="H16"/>
    </sheetView>
  </sheetViews>
  <sheetFormatPr defaultColWidth="13" defaultRowHeight="14.4"/>
  <cols>
    <col min="11" max="11" width="32.5546875" customWidth="1"/>
    <col min="13" max="13" width="20.21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76</v>
      </c>
      <c r="K1" t="s">
        <v>91</v>
      </c>
      <c r="L1" t="s">
        <v>77</v>
      </c>
    </row>
    <row r="2" spans="1:1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>
        <f>SUM(G2:G10)</f>
        <v>437000</v>
      </c>
      <c r="K2">
        <f>SUMIF(G2:G10,"&gt;50000")</f>
        <v>128000</v>
      </c>
      <c r="L2">
        <f>SUMIFS(G2:G10,F2:F10,"Salesman")</f>
        <v>156000</v>
      </c>
      <c r="M2" t="s">
        <v>92</v>
      </c>
    </row>
    <row r="3" spans="1:1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  <c r="L3">
        <f>SUMIFS(G2:G10,E2:E10,"Female")</f>
        <v>124000</v>
      </c>
      <c r="M3" t="s">
        <v>93</v>
      </c>
    </row>
    <row r="4" spans="1:1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  <c r="L4">
        <f>SUMIFS(G2:G10,E2:E10,"Male",D2:D10,"&gt;30")</f>
        <v>205000</v>
      </c>
      <c r="M4" t="s">
        <v>94</v>
      </c>
    </row>
    <row r="5" spans="1:1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</row>
    <row r="6" spans="1:1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</row>
    <row r="7" spans="1:1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</row>
    <row r="8" spans="1:1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</row>
    <row r="9" spans="1:1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</row>
    <row r="10" spans="1:1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L16"/>
  <sheetViews>
    <sheetView zoomScale="78" workbookViewId="0">
      <selection activeCell="G25" sqref="G25"/>
    </sheetView>
  </sheetViews>
  <sheetFormatPr defaultColWidth="13.6640625" defaultRowHeight="14.4"/>
  <cols>
    <col min="1" max="1" width="10.77734375" customWidth="1"/>
    <col min="4" max="4" width="7.6640625" customWidth="1"/>
    <col min="10" max="10" width="61.44140625" customWidth="1"/>
    <col min="11" max="11" width="28" customWidth="1"/>
    <col min="12" max="12" width="33.5546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78</v>
      </c>
      <c r="K1" t="s">
        <v>79</v>
      </c>
      <c r="L1" t="s">
        <v>80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3">
        <v>37197</v>
      </c>
      <c r="I2" s="3">
        <v>42253</v>
      </c>
      <c r="J2" s="4">
        <f>COUNT(A2:A10)</f>
        <v>9</v>
      </c>
      <c r="K2" s="5">
        <f>COUNTIF(F2:F10,"Salesman")</f>
        <v>3</v>
      </c>
      <c r="L2" s="6">
        <f>COUNTIFS(F2:F10,"Salesman",G2:G10,"&gt;45000")</f>
        <v>2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3">
        <v>36436</v>
      </c>
      <c r="I3" s="3">
        <v>42287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3">
        <v>36711</v>
      </c>
      <c r="I4" s="3">
        <v>42986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3">
        <v>36530</v>
      </c>
      <c r="I5" s="3">
        <v>42341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3">
        <v>37017</v>
      </c>
      <c r="I6" s="3">
        <v>42977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3">
        <v>35040</v>
      </c>
      <c r="I7" s="3">
        <v>41528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3">
        <v>37933</v>
      </c>
      <c r="I8" s="3">
        <v>41551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3">
        <v>37416</v>
      </c>
      <c r="I9" s="3">
        <v>42116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3">
        <v>37843</v>
      </c>
      <c r="I10" s="3">
        <v>40800</v>
      </c>
    </row>
    <row r="14" spans="1:12">
      <c r="J14" s="4" t="s">
        <v>95</v>
      </c>
    </row>
    <row r="15" spans="1:12">
      <c r="J15" s="5" t="s">
        <v>96</v>
      </c>
    </row>
    <row r="16" spans="1:12">
      <c r="J16" s="6" t="s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A1:K15"/>
  <sheetViews>
    <sheetView tabSelected="1" workbookViewId="0">
      <selection activeCell="M9" sqref="M9"/>
    </sheetView>
  </sheetViews>
  <sheetFormatPr defaultColWidth="9" defaultRowHeight="14.4"/>
  <cols>
    <col min="8" max="8" width="14.44140625" customWidth="1"/>
    <col min="9" max="9" width="13.33203125" customWidth="1"/>
    <col min="10" max="10" width="15.88671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82</v>
      </c>
      <c r="K1" t="s">
        <v>83</v>
      </c>
    </row>
    <row r="2" spans="1:1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 s="1">
        <v>45000</v>
      </c>
      <c r="H2" s="2" t="s">
        <v>43</v>
      </c>
      <c r="I2" s="2" t="s">
        <v>44</v>
      </c>
      <c r="J2">
        <f>_xlfn.DAYS(I2,H2)</f>
        <v>5056</v>
      </c>
      <c r="K2">
        <f>NETWORKDAYS(H2,I2)</f>
        <v>3611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 s="1">
        <v>36000</v>
      </c>
      <c r="H3" s="2" t="s">
        <v>46</v>
      </c>
      <c r="I3" s="2" t="s">
        <v>47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 s="1">
        <v>63000</v>
      </c>
      <c r="H4" s="2" t="s">
        <v>49</v>
      </c>
      <c r="I4" s="2" t="s">
        <v>50</v>
      </c>
      <c r="J4">
        <f t="shared" si="0"/>
        <v>6275</v>
      </c>
      <c r="K4">
        <f t="shared" si="1"/>
        <v>4484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 s="1">
        <v>47000</v>
      </c>
      <c r="H5" s="2" t="s">
        <v>52</v>
      </c>
      <c r="I5" s="2" t="s">
        <v>53</v>
      </c>
      <c r="J5">
        <f t="shared" si="0"/>
        <v>5811</v>
      </c>
      <c r="K5">
        <f t="shared" si="1"/>
        <v>4152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 s="1">
        <v>50000</v>
      </c>
      <c r="H6" s="2" t="s">
        <v>55</v>
      </c>
      <c r="I6" s="2" t="s">
        <v>56</v>
      </c>
      <c r="J6">
        <f t="shared" si="0"/>
        <v>5960</v>
      </c>
      <c r="K6">
        <f t="shared" si="1"/>
        <v>4258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 s="1">
        <v>65000</v>
      </c>
      <c r="H7" s="2" t="s">
        <v>55</v>
      </c>
      <c r="I7" s="2" t="s">
        <v>58</v>
      </c>
      <c r="J7">
        <f t="shared" si="0"/>
        <v>4511</v>
      </c>
      <c r="K7">
        <f t="shared" si="1"/>
        <v>3223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 s="1">
        <v>41000</v>
      </c>
      <c r="H8" s="2" t="s">
        <v>60</v>
      </c>
      <c r="I8" s="2" t="s">
        <v>58</v>
      </c>
      <c r="J8">
        <f t="shared" si="0"/>
        <v>3595</v>
      </c>
      <c r="K8">
        <f t="shared" si="1"/>
        <v>2568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 s="1">
        <v>48000</v>
      </c>
      <c r="H9" s="2" t="s">
        <v>62</v>
      </c>
      <c r="I9" s="2" t="s">
        <v>63</v>
      </c>
      <c r="J9">
        <f t="shared" si="0"/>
        <v>4700</v>
      </c>
      <c r="K9">
        <f t="shared" si="1"/>
        <v>3358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 s="1">
        <v>42000</v>
      </c>
      <c r="H10" s="2" t="s">
        <v>65</v>
      </c>
      <c r="I10" s="2" t="s">
        <v>63</v>
      </c>
      <c r="J10">
        <f t="shared" si="0"/>
        <v>4273</v>
      </c>
      <c r="K10">
        <f t="shared" si="1"/>
        <v>3053</v>
      </c>
    </row>
    <row r="15" spans="1:11">
      <c r="J1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Concatenate</vt:lpstr>
      <vt:lpstr>SUM-SumIF</vt:lpstr>
      <vt:lpstr>Count-CountIF</vt:lpstr>
      <vt:lpstr>Days-NetworkDays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Youssef Benyameen</cp:lastModifiedBy>
  <dcterms:created xsi:type="dcterms:W3CDTF">2021-12-16T14:18:00Z</dcterms:created>
  <dcterms:modified xsi:type="dcterms:W3CDTF">2025-09-21T13:28:37Z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FC25AD6DFF0744D3AAFB115B96F2107F_12</vt:lpwstr>
  </property>
  <property fmtid="{D5CDD505-2E9C-101B-9397-08002B2CF9AE}" pid="3" name="KSOProductBuildVer">
    <vt:lpwstr>1033-12.2.0.22222</vt:lpwstr>
  </property>
</Properties>
</file>